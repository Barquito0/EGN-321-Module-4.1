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3107d20b2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_Map" sheetId="1" r:id="R0e232210e22a4fbd"/>
    <x:sheet xmlns:r="http://schemas.openxmlformats.org/officeDocument/2006/relationships" name="Manual_Goal_Seek" sheetId="2" r:id="R938223fbec2f455e"/>
    <x:sheet xmlns:r="http://schemas.openxmlformats.org/officeDocument/2006/relationships" name="Source_Notes" sheetId="3" r:id="R229d97eb74e2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5a19a5c7640a7" /><Relationship Type="http://schemas.openxmlformats.org/officeDocument/2006/relationships/theme" Target="/xl/theme/theme1.xml" Id="Rff993c1aff92495d" /><Relationship Type="http://schemas.openxmlformats.org/officeDocument/2006/relationships/sharedStrings" Target="/xl/sharedStrings.xml" Id="Rdb40763a1c9141f6" /><Relationship Type="http://schemas.openxmlformats.org/officeDocument/2006/relationships/worksheet" Target="/xl/worksheets/sheet1.xml" Id="R0e232210e22a4fbd" /><Relationship Type="http://schemas.openxmlformats.org/officeDocument/2006/relationships/worksheet" Target="/xl/worksheets/sheet2.xml" Id="R938223fbec2f455e" /><Relationship Type="http://schemas.openxmlformats.org/officeDocument/2006/relationships/worksheet" Target="/xl/worksheets/sheet3.xml" Id="R229d97eb74e2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4" hidden="0" customWidth="1"/>
    <x:col min="5" max="5" width="58" hidden="0" customWidth="1"/>
    <x:col min="6" max="6" width="28" hidden="0" customWidth="1"/>
  </x:cols>
  <x:sheetData>
    <x:row r="1" ht="28" customHeight="1">
      <x:c r="A1" s="5" t="str">
        <x:v>SyntraTech Verification Capacity — Synthetic Goal-Seek Workbook</x:v>
      </x:c>
      <x:c r="B1" s="5"/>
      <x:c r="C1" s="5"/>
      <x:c r="D1" s="5"/>
      <x:c r="E1" s="5"/>
      <x:c r="F1" s="5"/>
    </x:row>
    <x:row r="2">
      <x:c r="A2" s="11" t="str">
        <x:v>Classroom-safe planning workbook based on a real SyntraTech operating question. The 600-check / 5-hour manual benchmark is a real aggregate planning value. The 60-minute target and solver tolerance are classroom design assumptions, not measured production guarantees.</x:v>
      </x:c>
      <x:c r="B2" s="11"/>
      <x:c r="C2" s="11"/>
      <x:c r="D2" s="11"/>
      <x:c r="E2" s="11"/>
      <x:c r="F2" s="11"/>
    </x:row>
    <x:row r="3">
      <x:c r="A3" s="11"/>
      <x:c r="B3" s="11"/>
      <x:c r="C3" s="11"/>
      <x:c r="D3" s="11"/>
      <x:c r="E3" s="11"/>
      <x:c r="F3" s="11"/>
    </x:row>
    <x:row r="5">
      <x:c r="A5" s="16" t="str">
        <x:v>Input</x:v>
      </x:c>
      <x:c r="B5" s="16" t="str">
        <x:v>Value</x:v>
      </x:c>
      <x:c r="C5" s="16" t="str">
        <x:v>Unit</x:v>
      </x:c>
      <x:c r="D5" s="16" t="str">
        <x:v>Type</x:v>
      </x:c>
      <x:c r="E5" s="16" t="str">
        <x:v>Source / Meaning</x:v>
      </x:c>
      <x:c r="F5" s="16" t="str">
        <x:v>Validation Rule</x:v>
      </x:c>
    </x:row>
    <x:row r="6">
      <x:c r="A6" s="22" t="str">
        <x:v>Batch size</x:v>
      </x:c>
      <x:c r="B6" s="23" t="n">
        <x:v>600</x:v>
      </x:c>
      <x:c r="C6" s="22" t="str">
        <x:v>checks</x:v>
      </x:c>
      <x:c r="D6" s="22" t="str">
        <x:v>SyntraTech planning value</x:v>
      </x:c>
      <x:c r="E6" s="22" t="str">
        <x:v>Typical aggregate planning batch size.</x:v>
      </x:c>
      <x:c r="F6" s="22" t="str">
        <x:v>&gt; 0</x:v>
      </x:c>
    </x:row>
    <x:row r="7">
      <x:c r="A7" s="22" t="str">
        <x:v>Baseline cycle time</x:v>
      </x:c>
      <x:c r="B7" s="23" t="n">
        <x:v>30</x:v>
      </x:c>
      <x:c r="C7" s="22" t="str">
        <x:v>sec/check</x:v>
      </x:c>
      <x:c r="D7" s="22" t="str">
        <x:v>Derived planning benchmark</x:v>
      </x:c>
      <x:c r="E7" s="22" t="str">
        <x:v>Derived from about 600 manual checks in about 5 hours: 18,000 sec / 600 = 30 sec/check. This is NOT measured automated app timing.</x:v>
      </x:c>
      <x:c r="F7" s="22" t="str">
        <x:v>&gt; 0</x:v>
      </x:c>
    </x:row>
    <x:row r="8">
      <x:c r="A8" s="22" t="str">
        <x:v>Parallel efficiency</x:v>
      </x:c>
      <x:c r="B8" s="23" t="n">
        <x:v>1</x:v>
      </x:c>
      <x:c r="C8" s="22" t="str">
        <x:v>fraction</x:v>
      </x:c>
      <x:c r="D8" s="22" t="str">
        <x:v>Classroom assumption</x:v>
      </x:c>
      <x:c r="E8" s="22" t="str">
        <x:v>Idealized worker/station efficiency for the first model.</x:v>
      </x:c>
      <x:c r="F8" s="22" t="str">
        <x:v>&gt; 0 and &lt;= 1</x:v>
      </x:c>
    </x:row>
    <x:row r="9">
      <x:c r="A9" s="22" t="str">
        <x:v>Target batch time</x:v>
      </x:c>
      <x:c r="B9" s="23" t="n">
        <x:v>60</x:v>
      </x:c>
      <x:c r="C9" s="22" t="str">
        <x:v>minutes</x:v>
      </x:c>
      <x:c r="D9" s="22" t="str">
        <x:v>Classroom target</x:v>
      </x:c>
      <x:c r="E9" s="22" t="str">
        <x:v>Target used to demonstrate iterative capacity sizing.</x:v>
      </x:c>
      <x:c r="F9" s="22" t="str">
        <x:v>&gt; 0</x:v>
      </x:c>
    </x:row>
    <x:row r="10">
      <x:c r="A10" s="22" t="str">
        <x:v>Starting stations</x:v>
      </x:c>
      <x:c r="B10" s="23" t="n">
        <x:v>1</x:v>
      </x:c>
      <x:c r="C10" s="22" t="str">
        <x:v>stations</x:v>
      </x:c>
      <x:c r="D10" s="22" t="str">
        <x:v>Starting condition</x:v>
      </x:c>
      <x:c r="E10" s="22" t="str">
        <x:v>Initial proposed number of concurrent verification stations.</x:v>
      </x:c>
      <x:c r="F10" s="22" t="str">
        <x:v>integer &gt;= 1</x:v>
      </x:c>
    </x:row>
    <x:row r="11">
      <x:c r="A11" s="22" t="str">
        <x:v>Tolerance</x:v>
      </x:c>
      <x:c r="B11" s="23" t="n">
        <x:v>0.5</x:v>
      </x:c>
      <x:c r="C11" s="22" t="str">
        <x:v>minutes</x:v>
      </x:c>
      <x:c r="D11" s="22" t="str">
        <x:v>Classroom assumption</x:v>
      </x:c>
      <x:c r="E11" s="22" t="str">
        <x:v>Accepted absolute difference between estimated and target time.</x:v>
      </x:c>
      <x:c r="F11" s="22" t="str">
        <x:v>&gt; 0</x:v>
      </x:c>
    </x:row>
    <x:row r="12">
      <x:c r="A12" s="22" t="str">
        <x:v>Maximum iterations</x:v>
      </x:c>
      <x:c r="B12" s="23" t="n">
        <x:v>10</x:v>
      </x:c>
      <x:c r="C12" s="22" t="str">
        <x:v>iterations</x:v>
      </x:c>
      <x:c r="D12" s="22" t="str">
        <x:v>Solver safety limit</x:v>
      </x:c>
      <x:c r="E12" s="22" t="str">
        <x:v>Prevents an endless loop when integer station counts cannot meet tolerance.</x:v>
      </x:c>
      <x:c r="F12" s="22" t="str">
        <x:v>integer &gt;= 1</x:v>
      </x:c>
    </x:row>
    <x:row r="13">
      <x:c r="A13" s="22" t="str">
        <x:v>Maximum stations</x:v>
      </x:c>
      <x:c r="B13" s="23" t="n">
        <x:v>10</x:v>
      </x:c>
      <x:c r="C13" s="22" t="str">
        <x:v>stations</x:v>
      </x:c>
      <x:c r="D13" s="22" t="str">
        <x:v>Classroom bound</x:v>
      </x:c>
      <x:c r="E13" s="22" t="str">
        <x:v>Planning bound consistent with the general 7–10 manager scale, but not a production infrastructure limit.</x:v>
      </x:c>
      <x:c r="F13" s="22" t="str">
        <x:v>integer &gt;= starting stations</x:v>
      </x:c>
    </x:row>
    <x:row r="15">
      <x:c r="A15" s="16" t="str">
        <x:v>One-pass calculation</x:v>
      </x:c>
      <x:c r="B15" s="16" t="str">
        <x:v>Formula</x:v>
      </x:c>
    </x:row>
    <x:row r="16">
      <x:c r="A16" t="str">
        <x:v>Effective parallel capacity</x:v>
      </x:c>
      <x:c r="B16" s="26" t="n">
        <x:f>B10*B8</x:f>
        <x:v>1</x:v>
      </x:c>
    </x:row>
    <x:row r="17">
      <x:c r="A17" t="str">
        <x:v>Estimated batch time (min)</x:v>
      </x:c>
      <x:c r="B17" s="28" t="n">
        <x:f>B6*B7/(B16*60)</x:f>
        <x:v>300</x:v>
      </x:c>
    </x:row>
    <x:row r="18">
      <x:c r="A18" t="str">
        <x:v>Error from target (min)</x:v>
      </x:c>
      <x:c r="B18" s="28" t="n">
        <x:f>B17-B9</x:f>
        <x:v>240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16" hidden="0" customWidth="1"/>
    <x:col min="5" max="5" width="22" hidden="0" customWidth="1"/>
    <x:col min="6" max="6" width="14" hidden="0" customWidth="1"/>
  </x:cols>
  <x:sheetData>
    <x:row r="1">
      <x:c r="A1" s="4" t="str">
        <x:v>Manual Goal-Seek Style Capacity Trial</x:v>
      </x:c>
      <x:c r="B1" s="4"/>
      <x:c r="C1" s="4"/>
      <x:c r="D1" s="4"/>
      <x:c r="E1" s="4"/>
      <x:c r="F1" s="4"/>
    </x:row>
    <x:row r="3">
      <x:c r="A3" s="16" t="str">
        <x:v>Trial</x:v>
      </x:c>
      <x:c r="B3" s="16" t="str">
        <x:v>Stations</x:v>
      </x:c>
      <x:c r="C3" s="16" t="str">
        <x:v>Estimated Time (min)</x:v>
      </x:c>
      <x:c r="D3" s="16" t="str">
        <x:v>Target (min)</x:v>
      </x:c>
      <x:c r="E3" s="16" t="str">
        <x:v>Absolute Error (min)</x:v>
      </x:c>
      <x:c r="F3" s="16" t="str">
        <x:v>Accept?</x:v>
      </x:c>
    </x:row>
    <x:row r="4">
      <x:c r="A4" s="22" t="n">
        <x:v>1</x:v>
      </x:c>
      <x:c r="B4" s="22" t="n">
        <x:v>1</x:v>
      </x:c>
      <x:c r="C4" s="32" t="n">
        <x:f>Process_Map!$B$6*Process_Map!$B$7/(B4*Process_Map!$B$8*60)</x:f>
        <x:v>300</x:v>
      </x:c>
      <x:c r="D4" s="32" t="n">
        <x:f>Process_Map!$B$9</x:f>
        <x:v>60</x:v>
      </x:c>
      <x:c r="E4" s="32" t="n">
        <x:f>ABS(C4-D4)</x:f>
        <x:v>240</x:v>
      </x:c>
      <x:c r="F4" s="22" t="str">
        <x:f>IF(E4&lt;=Process_Map!$B$11,"YES","NO")</x:f>
        <x:v>NO</x:v>
      </x:c>
    </x:row>
    <x:row r="5">
      <x:c r="A5" s="22" t="n">
        <x:v>2</x:v>
      </x:c>
      <x:c r="B5" s="22" t="n">
        <x:v>2</x:v>
      </x:c>
      <x:c r="C5" s="32" t="n">
        <x:f>Process_Map!$B$6*Process_Map!$B$7/(B5*Process_Map!$B$8*60)</x:f>
        <x:v>150</x:v>
      </x:c>
      <x:c r="D5" s="32" t="n">
        <x:f>Process_Map!$B$9</x:f>
        <x:v>60</x:v>
      </x:c>
      <x:c r="E5" s="32" t="n">
        <x:f>ABS(C5-D5)</x:f>
        <x:v>90</x:v>
      </x:c>
      <x:c r="F5" s="22" t="str">
        <x:f>IF(E5&lt;=Process_Map!$B$11,"YES","NO")</x:f>
        <x:v>NO</x:v>
      </x:c>
    </x:row>
    <x:row r="6">
      <x:c r="A6" s="22" t="n">
        <x:v>3</x:v>
      </x:c>
      <x:c r="B6" s="22" t="n">
        <x:v>3</x:v>
      </x:c>
      <x:c r="C6" s="32" t="n">
        <x:f>Process_Map!$B$6*Process_Map!$B$7/(B6*Process_Map!$B$8*60)</x:f>
        <x:v>100</x:v>
      </x:c>
      <x:c r="D6" s="32" t="n">
        <x:f>Process_Map!$B$9</x:f>
        <x:v>60</x:v>
      </x:c>
      <x:c r="E6" s="32" t="n">
        <x:f>ABS(C6-D6)</x:f>
        <x:v>40</x:v>
      </x:c>
      <x:c r="F6" s="22" t="str">
        <x:f>IF(E6&lt;=Process_Map!$B$11,"YES","NO")</x:f>
        <x:v>NO</x:v>
      </x:c>
    </x:row>
    <x:row r="7">
      <x:c r="A7" s="22" t="n">
        <x:v>4</x:v>
      </x:c>
      <x:c r="B7" s="22" t="n">
        <x:v>4</x:v>
      </x:c>
      <x:c r="C7" s="32" t="n">
        <x:f>Process_Map!$B$6*Process_Map!$B$7/(B7*Process_Map!$B$8*60)</x:f>
        <x:v>75</x:v>
      </x:c>
      <x:c r="D7" s="32" t="n">
        <x:f>Process_Map!$B$9</x:f>
        <x:v>60</x:v>
      </x:c>
      <x:c r="E7" s="32" t="n">
        <x:f>ABS(C7-D7)</x:f>
        <x:v>15</x:v>
      </x:c>
      <x:c r="F7" s="22" t="str">
        <x:f>IF(E7&lt;=Process_Map!$B$11,"YES","NO")</x:f>
        <x:v>NO</x:v>
      </x:c>
    </x:row>
    <x:row r="8">
      <x:c r="A8" s="22" t="n">
        <x:v>5</x:v>
      </x:c>
      <x:c r="B8" s="22" t="n">
        <x:v>5</x:v>
      </x:c>
      <x:c r="C8" s="32" t="n">
        <x:f>Process_Map!$B$6*Process_Map!$B$7/(B8*Process_Map!$B$8*60)</x:f>
        <x:v>60</x:v>
      </x:c>
      <x:c r="D8" s="32" t="n">
        <x:f>Process_Map!$B$9</x:f>
        <x:v>60</x:v>
      </x:c>
      <x:c r="E8" s="32" t="n">
        <x:f>ABS(C8-D8)</x:f>
        <x:v>0</x:v>
      </x:c>
      <x:c r="F8" s="22" t="str">
        <x:f>IF(E8&lt;=Process_Map!$B$11,"YES","NO")</x:f>
        <x:v>YES</x:v>
      </x:c>
    </x:row>
    <x:row r="11">
      <x:c r="A11" s="11" t="str">
        <x:v>Interpretation: with the classroom defaults, 1 station estimates 300 minutes and 5 stations estimates 60 minutes. The Python assignment replaces this manual trial process with a tested iterative solver that also handles invalid input, non-convergence, maximum iterations, and iteration history.</x:v>
      </x:c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</x:sheetData>
  <x:mergeCells>
    <x:mergeCell ref="A1:F1"/>
    <x:mergeCell ref="A11:F14"/>
  </x:mergeCells>
  <x:conditionalFormatting sqref="F4:F8">
    <x:cfRule type="expression" dxfId="0" priority="1">
      <x:formula>F4="YES"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4" hidden="0" customWidth="1"/>
    <x:col min="4" max="4" width="68" hidden="0" customWidth="1"/>
  </x:cols>
  <x:sheetData>
    <x:row r="1">
      <x:c r="A1" s="3" t="str">
        <x:v>Source and Assumption Notes</x:v>
      </x:c>
      <x:c r="B1" s="3"/>
      <x:c r="C1" s="3"/>
      <x:c r="D1" s="3"/>
    </x:row>
    <x:row r="3">
      <x:c r="A3" s="16" t="str">
        <x:v>Item</x:v>
      </x:c>
      <x:c r="B3" s="16" t="str">
        <x:v>Classification</x:v>
      </x:c>
      <x:c r="C3" s="16" t="str">
        <x:v>Value</x:v>
      </x:c>
      <x:c r="D3" s="16" t="str">
        <x:v>Note</x:v>
      </x:c>
    </x:row>
    <x:row r="4">
      <x:c r="A4" s="22" t="str">
        <x:v>Typical batch</x:v>
      </x:c>
      <x:c r="B4" s="22" t="str">
        <x:v>Real aggregate SyntraTech planning value</x:v>
      </x:c>
      <x:c r="C4" s="22" t="str">
        <x:v>600 checks</x:v>
      </x:c>
      <x:c r="D4" s="22" t="str">
        <x:v>Previously used in SyntraTech planning. No driver identity or personal data is included.</x:v>
      </x:c>
    </x:row>
    <x:row r="5">
      <x:c r="A5" s="22" t="str">
        <x:v>Manual benchmark</x:v>
      </x:c>
      <x:c r="B5" s="22" t="str">
        <x:v>Real aggregate SyntraTech planning value</x:v>
      </x:c>
      <x:c r="C5" s="22" t="str">
        <x:v>About 5 hours per 600 checks</x:v>
      </x:c>
      <x:c r="D5" s="22" t="str">
        <x:v>Used only to derive a 30 sec/check classroom baseline. It is not a measured automated-app timing.</x:v>
      </x:c>
    </x:row>
    <x:row r="6">
      <x:c r="A6" s="22" t="str">
        <x:v>Typical management scale</x:v>
      </x:c>
      <x:c r="B6" s="22" t="str">
        <x:v>Real aggregate SyntraTech planning context</x:v>
      </x:c>
      <x:c r="C6" s="22" t="str">
        <x:v>About 7–10 managers</x:v>
      </x:c>
      <x:c r="D6" s="22" t="str">
        <x:v>Context only. It does not prove that 10 automated stations are safe on current production infrastructure.</x:v>
      </x:c>
    </x:row>
    <x:row r="7">
      <x:c r="A7" s="22" t="str">
        <x:v>Target time</x:v>
      </x:c>
      <x:c r="B7" s="22" t="str">
        <x:v>Synthetic classroom assumption</x:v>
      </x:c>
      <x:c r="C7" s="22" t="str">
        <x:v>60 minutes</x:v>
      </x:c>
      <x:c r="D7" s="22" t="str">
        <x:v>Chosen so the iteration problem has a clear target.</x:v>
      </x:c>
    </x:row>
    <x:row r="8">
      <x:c r="A8" s="22" t="str">
        <x:v>Tolerance</x:v>
      </x:c>
      <x:c r="B8" s="22" t="str">
        <x:v>Synthetic classroom assumption</x:v>
      </x:c>
      <x:c r="C8" s="22" t="str">
        <x:v>0.5 minutes</x:v>
      </x:c>
      <x:c r="D8" s="22" t="str">
        <x:v>Chosen for the assignment to demonstrate a tolerance-based stopping rule.</x:v>
      </x:c>
    </x:row>
    <x:row r="9">
      <x:c r="A9" s="22" t="str">
        <x:v>Maximum stations</x:v>
      </x:c>
      <x:c r="B9" s="22" t="str">
        <x:v>Synthetic classroom bound</x:v>
      </x:c>
      <x:c r="C9" s="22" t="str">
        <x:v>10 stations</x:v>
      </x:c>
      <x:c r="D9" s="22" t="str">
        <x:v>Used to bound the solver. It is not a measured server-concurrency limit.</x:v>
      </x:c>
    </x:row>
  </x:sheetData>
  <x:mergeCells>
    <x:mergeCell ref="A1:D1"/>
  </x:mergeCells>
  <x:pageMargins left="0.7" right="0.7" top="0.75" bottom="0.75" header="0.3" footer="0.3"/>
</x:worksheet>
</file>